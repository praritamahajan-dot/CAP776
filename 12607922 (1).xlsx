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<sst xmlns="http://schemas.openxmlformats.org/spreadsheetml/2006/main" count="73" uniqueCount="69">
  <si>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</si>
  <si>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</si>
  <si>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</si>
  <si>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</si>
  <si>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</si>
  <si>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</si>
  <si>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</si>
  <si>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</si>
  <si>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</si>
  <si>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</si>
  <si>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</si>
  <si>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</si>
  <si>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</si>
  <si>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</si>
  <si>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</si>
  <si>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</si>
  <si>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</si>
  <si>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</si>
  <si>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</si>
  <si>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</si>
  <si>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</si>
  <si>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</si>
  <si>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</si>
  <si>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</si>
  <si>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</si>
  <si>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</si>
  <si>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</si>
  <si>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</si>
  <si>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</si>
  <si>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</si>
  <si>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</si>
  <si>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</si>
  <si>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</si>
  <si>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</si>
  <si>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</si>
  <si>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</si>
  <si>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</si>
  <si>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</si>
  <si>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</si>
  <si>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</si>
  <si>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</si>
  <si>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</si>
  <si>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</si>
  <si>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</si>
  <si>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</si>
  <si>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</si>
  <si>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</si>
  <si>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</si>
  <si>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</si>
  <si>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</si>
  <si>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</si>
  <si>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</si>
  <si>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</si>
  <si>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</si>
  <si>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</si>
  <si>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</si>
  <si>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</si>
  <si>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</si>
  <si>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</si>
  <si>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</si>
  <si>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</si>
  <si>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</si>
  <si>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</si>
  <si>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</si>
  <si>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</si>
  <si>
    <t>Excellent</t>
  </si>
  <si>
    <t>Very Satisfied</t>
  </si>
  <si>
    <t>Medium</t>
  </si>
  <si>
    <t>homesick, chit chat with roommates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</si>
</sst>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7" activePane="bottomRight" state="frozen"/>
      <selection/>
      <selection pane="topRight"/>
      <selection pane="bottomLeft"/>
      <selection pane="bottomRight" activeCell="A16" sqref="A16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46254</v>
      </c>
      <c r="B6" s="8">
        <v>450</v>
      </c>
      <c r="C6" s="8">
        <v>60</v>
      </c>
      <c r="D6" s="8">
        <v>30</v>
      </c>
      <c r="E6" s="8">
        <v>70</v>
      </c>
      <c r="F6" s="8">
        <v>350</v>
      </c>
      <c r="G6" s="8">
        <v>7</v>
      </c>
      <c r="H6" s="8">
        <v>180</v>
      </c>
      <c r="I6" s="9">
        <f t="shared" ref="I6:I69" si="0">IF(SUM(B6:F6,H6)=0,"",SUM(B6:F6,H6))</f>
        <v>1140</v>
      </c>
      <c r="J6" s="9">
        <f>IF(I6="","",1440-I6)</f>
        <v>300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46255</v>
      </c>
      <c r="B7" s="13">
        <v>450</v>
      </c>
      <c r="C7" s="13">
        <v>60</v>
      </c>
      <c r="D7" s="13">
        <v>0</v>
      </c>
      <c r="E7" s="13">
        <v>60</v>
      </c>
      <c r="F7" s="13">
        <v>300</v>
      </c>
      <c r="G7" s="13">
        <v>6</v>
      </c>
      <c r="H7" s="13">
        <v>240</v>
      </c>
      <c r="I7" s="14">
        <f t="shared" si="0"/>
        <v>1110</v>
      </c>
      <c r="J7" s="14">
        <f t="shared" ref="J6:J69" si="1">IF(I7="","",1440-I7)</f>
        <v>330</v>
      </c>
      <c r="K7" s="15" t="s">
        <v>57</v>
      </c>
      <c r="L7" s="15" t="s">
        <v>58</v>
      </c>
      <c r="M7" s="15" t="s">
        <v>55</v>
      </c>
      <c r="N7" s="16" t="s">
        <v>59</v>
      </c>
    </row>
    <row r="8" ht="29" spans="1:14">
      <c r="A8" s="12">
        <v>46256</v>
      </c>
      <c r="B8" s="13">
        <v>660</v>
      </c>
      <c r="C8" s="13">
        <v>20</v>
      </c>
      <c r="D8" s="13">
        <v>0</v>
      </c>
      <c r="E8" s="13">
        <v>30</v>
      </c>
      <c r="F8" s="13">
        <v>0</v>
      </c>
      <c r="G8" s="13">
        <v>0</v>
      </c>
      <c r="H8" s="13">
        <v>240</v>
      </c>
      <c r="I8" s="14">
        <f t="shared" si="0"/>
        <v>950</v>
      </c>
      <c r="J8" s="14">
        <f t="shared" si="1"/>
        <v>490</v>
      </c>
      <c r="K8" s="15" t="s">
        <v>60</v>
      </c>
      <c r="L8" s="15" t="s">
        <v>61</v>
      </c>
      <c r="M8" s="15" t="s">
        <v>62</v>
      </c>
      <c r="N8" s="16" t="s">
        <v>63</v>
      </c>
    </row>
    <row r="9" spans="1:14">
      <c r="A9" s="12">
        <v>46257</v>
      </c>
      <c r="B9" s="13">
        <v>660</v>
      </c>
      <c r="C9" s="13">
        <v>20</v>
      </c>
      <c r="D9" s="13">
        <v>90</v>
      </c>
      <c r="E9" s="13">
        <v>40</v>
      </c>
      <c r="F9" s="13">
        <v>0</v>
      </c>
      <c r="G9" s="13">
        <v>0</v>
      </c>
      <c r="H9" s="13">
        <v>240</v>
      </c>
      <c r="I9" s="14">
        <f t="shared" si="0"/>
        <v>1050</v>
      </c>
      <c r="J9" s="14">
        <f t="shared" si="1"/>
        <v>390</v>
      </c>
      <c r="K9" s="15" t="s">
        <v>53</v>
      </c>
      <c r="L9" s="15" t="s">
        <v>54</v>
      </c>
      <c r="M9" s="15" t="s">
        <v>62</v>
      </c>
      <c r="N9" s="16" t="s">
        <v>64</v>
      </c>
    </row>
    <row r="10" ht="29" spans="1:14">
      <c r="A10" s="12">
        <v>46258</v>
      </c>
      <c r="B10" s="13">
        <v>360</v>
      </c>
      <c r="C10" s="13">
        <v>30</v>
      </c>
      <c r="D10" s="13">
        <v>60</v>
      </c>
      <c r="E10" s="13">
        <v>30</v>
      </c>
      <c r="F10" s="13">
        <v>150</v>
      </c>
      <c r="G10" s="13">
        <v>3</v>
      </c>
      <c r="H10" s="13">
        <v>240</v>
      </c>
      <c r="I10" s="14">
        <f t="shared" si="0"/>
        <v>870</v>
      </c>
      <c r="J10" s="14">
        <f t="shared" si="1"/>
        <v>570</v>
      </c>
      <c r="K10" s="15" t="s">
        <v>65</v>
      </c>
      <c r="L10" s="15" t="s">
        <v>66</v>
      </c>
      <c r="M10" s="15" t="s">
        <v>67</v>
      </c>
      <c r="N10" s="16" t="s">
        <v>68</v>
      </c>
    </row>
    <row r="11" spans="1:14">
      <c r="A11" s="12">
        <v>46259</v>
      </c>
      <c r="B11" s="13">
        <v>360</v>
      </c>
      <c r="C11" s="13"/>
      <c r="D11" s="13"/>
      <c r="E11" s="13"/>
      <c r="F11" s="13"/>
      <c r="G11" s="13"/>
      <c r="H11" s="13"/>
      <c r="I11" s="14">
        <f t="shared" si="0"/>
        <v>360</v>
      </c>
      <c r="J11" s="14">
        <f t="shared" si="1"/>
        <v>1080</v>
      </c>
      <c r="K11" s="15"/>
      <c r="L11" s="15"/>
      <c r="M11" s="15"/>
      <c r="N11" s="16"/>
    </row>
    <row r="12" spans="1:14">
      <c r="A12" s="12">
        <v>46260</v>
      </c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>
      <c r="A13" s="12">
        <v>46261</v>
      </c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>
      <c r="A14" s="12">
        <v>46262</v>
      </c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>
      <c r="A15" s="12">
        <v>46263</v>
      </c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2026-08-25T08:08:27Z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BBE95C74002143CFA02746BEFB4D4971_13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