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2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<sst xmlns="http://schemas.openxmlformats.org/spreadsheetml/2006/main" count="149" uniqueCount="90">
  <si>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</si>
  <si>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</si>
  <si>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</si>
  <si>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</si>
  <si>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</si>
  <si>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</si>
  <si>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</si>
  <si>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</si>
  <si>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</si>
  <si>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</si>
  <si>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</si>
  <si>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</si>
  <si>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</si>
  <si>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</si>
  <si>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</si>
  <si>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</si>
  <si>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</si>
  <si>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</si>
  <si>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</si>
  <si>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</si>
  <si>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</si>
  <si>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</si>
  <si>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</si>
  <si>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</si>
  <si>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</si>
  <si>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</si>
  <si>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</si>
  <si>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</si>
  <si>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</si>
  <si>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</si>
  <si>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</si>
  <si>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</si>
  <si>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Prarita Mahajan</t>
  </si>
  <si>
    <t>Registration No.:</t>
  </si>
  <si>
    <t>Course / Section:</t>
  </si>
  <si>
    <t>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</si>
  <si>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</si>
  <si>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</si>
  <si>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</si>
  <si>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</si>
  <si>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</si>
  <si>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</si>
  <si>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</si>
  <si>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</si>
  <si>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</si>
  <si>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</si>
  <si>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</si>
  <si>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</si>
  <si>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</si>
  <si>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</si>
  <si>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</si>
  <si>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</si>
  <si>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</si>
  <si>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</si>
  <si>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</si>
  <si>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low</t>
  </si>
  <si>
    <t>normal day</t>
  </si>
  <si>
    <t>good</t>
  </si>
  <si>
    <t>satisfied</t>
  </si>
  <si>
    <t>Attended fresher</t>
  </si>
  <si>
    <t>Neutral</t>
  </si>
  <si>
    <t>Very Unsatisfied</t>
  </si>
  <si>
    <t>High</t>
  </si>
  <si>
    <t xml:space="preserve"> washed clothes, catched up with friends</t>
  </si>
  <si>
    <t>roam campus,chill day</t>
  </si>
  <si>
    <t>Excellent</t>
  </si>
  <si>
    <t>Very Satisfied</t>
  </si>
  <si>
    <t>Medium</t>
  </si>
  <si>
    <t>homesick, chit chat with roommates</t>
  </si>
  <si>
    <t>Low</t>
  </si>
  <si>
    <t>felt like doing nothing,tired from classes</t>
  </si>
  <si>
    <t>roamed campus,made notes, less classes</t>
  </si>
  <si>
    <t>went home,very tired,felt happy</t>
  </si>
  <si>
    <t>very nice</t>
  </si>
  <si>
    <t>spent rakhi with family</t>
  </si>
  <si>
    <t>met old frienda,made notes,spent time with family</t>
  </si>
  <si>
    <t>came back from home,stuck in jam for 2 hours,got tired , slept early</t>
  </si>
  <si>
    <t>skipped classes,made notes for dbms and networking for ca,roamed campus with friends</t>
  </si>
  <si>
    <t>very tired,didnt feel like doing much</t>
  </si>
  <si>
    <t>completed notes</t>
  </si>
  <si>
    <t>alot of classes,tired,missing family</t>
  </si>
  <si>
    <t>came back home,celeberate janmashtmi</t>
  </si>
  <si>
    <t>went to market,studied for ca,met friends at home</t>
  </si>
  <si>
    <t>studied for ca,came back uni</t>
  </si>
  <si>
    <t>one extra class,slept,was tired,didnt feel like doing anything,chill day</t>
  </si>
  <si>
    <t>alot of classes,tired,not much</t>
  </si>
  <si>
    <t>classes,study,roam campus at night</t>
  </si>
  <si>
    <t>freshers,washed clothes,studied for dbms ca,didnt go to college</t>
  </si>
  <si>
    <t>attended classes,gave ca,came home,stuck traffic</t>
  </si>
  <si>
    <t>studied for ca,met friends at home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</si>
</sst>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topLeftCell="A19" workbookViewId="0">
      <selection activeCell="B36" sqref="B36"/>
    </sheetView>
  </sheetViews>
  <sheetFormatPr defaultColWidth="8.63636363636364" defaultRowHeight="14.5"/>
  <cols>
    <col min="1" max="1" width="105" customWidth="1"/>
  </cols>
  <sheetData>
    <row r="1" ht="23" spans="1:1">
      <c r="A1" s="17" t="s">
        <v>0</v>
      </c>
    </row>
    <row r="2" ht="16.5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F24" activePane="bottomRight" state="frozen"/>
      <selection/>
      <selection pane="topRight"/>
      <selection pane="bottomLeft"/>
      <selection pane="bottomRight" activeCell="M24" sqref="M24"/>
    </sheetView>
  </sheetViews>
  <sheetFormatPr defaultColWidth="8.63636363636364" defaultRowHeight="14.5"/>
  <cols>
    <col min="1" max="1" width="18.4545454545455" customWidth="1"/>
    <col min="2" max="4" width="11" customWidth="1"/>
    <col min="5" max="5" width="16.3636363636364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25.2727272727273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12607922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4" t="s">
        <v>37</v>
      </c>
      <c r="G3" s="4"/>
    </row>
    <row r="4" spans="1:14">
      <c r="A4" s="5" t="s">
        <v>38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ht="42" spans="1:14">
      <c r="A5" s="6" t="s">
        <v>39</v>
      </c>
      <c r="B5" s="6" t="s">
        <v>40</v>
      </c>
      <c r="C5" s="6" t="s">
        <v>41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46</v>
      </c>
      <c r="I5" s="6" t="s">
        <v>47</v>
      </c>
      <c r="J5" s="6" t="s">
        <v>48</v>
      </c>
      <c r="K5" s="6" t="s">
        <v>49</v>
      </c>
      <c r="L5" s="6" t="s">
        <v>50</v>
      </c>
      <c r="M5" s="6" t="s">
        <v>51</v>
      </c>
      <c r="N5" s="6" t="s">
        <v>52</v>
      </c>
    </row>
    <row r="6" spans="1:14">
      <c r="A6" s="7">
        <v>46254</v>
      </c>
      <c r="B6" s="8">
        <v>450</v>
      </c>
      <c r="C6" s="8">
        <v>60</v>
      </c>
      <c r="D6" s="8">
        <v>30</v>
      </c>
      <c r="E6" s="8">
        <v>70</v>
      </c>
      <c r="F6" s="8">
        <v>350</v>
      </c>
      <c r="G6" s="8">
        <v>7</v>
      </c>
      <c r="H6" s="8">
        <v>180</v>
      </c>
      <c r="I6" s="9">
        <f t="shared" ref="I6:I69" si="0">IF(SUM(B6:F6,H6)=0,"",SUM(B6:F6,H6))</f>
        <v>1140</v>
      </c>
      <c r="J6" s="9">
        <f>IF(I6="","",1440-I6)</f>
        <v>300</v>
      </c>
      <c r="K6" s="10" t="s">
        <v>53</v>
      </c>
      <c r="L6" s="10" t="s">
        <v>54</v>
      </c>
      <c r="M6" s="10" t="s">
        <v>55</v>
      </c>
      <c r="N6" s="11" t="s">
        <v>56</v>
      </c>
    </row>
    <row r="7" spans="1:14">
      <c r="A7" s="12">
        <v>46255</v>
      </c>
      <c r="B7" s="13">
        <v>450</v>
      </c>
      <c r="C7" s="13">
        <v>60</v>
      </c>
      <c r="D7" s="13">
        <v>0</v>
      </c>
      <c r="E7" s="13">
        <v>60</v>
      </c>
      <c r="F7" s="13">
        <v>300</v>
      </c>
      <c r="G7" s="13">
        <v>6</v>
      </c>
      <c r="H7" s="13">
        <v>240</v>
      </c>
      <c r="I7" s="14">
        <f t="shared" si="0"/>
        <v>1110</v>
      </c>
      <c r="J7" s="14">
        <f t="shared" ref="J6:J69" si="1">IF(I7="","",1440-I7)</f>
        <v>330</v>
      </c>
      <c r="K7" s="15" t="s">
        <v>57</v>
      </c>
      <c r="L7" s="15" t="s">
        <v>58</v>
      </c>
      <c r="M7" s="15" t="s">
        <v>55</v>
      </c>
      <c r="N7" s="16" t="s">
        <v>59</v>
      </c>
    </row>
    <row r="8" ht="29" spans="1:14">
      <c r="A8" s="12">
        <v>46256</v>
      </c>
      <c r="B8" s="13">
        <v>660</v>
      </c>
      <c r="C8" s="13">
        <v>20</v>
      </c>
      <c r="D8" s="13">
        <v>0</v>
      </c>
      <c r="E8" s="13">
        <v>30</v>
      </c>
      <c r="F8" s="13">
        <v>0</v>
      </c>
      <c r="G8" s="13">
        <v>0</v>
      </c>
      <c r="H8" s="13">
        <v>240</v>
      </c>
      <c r="I8" s="14">
        <f t="shared" si="0"/>
        <v>950</v>
      </c>
      <c r="J8" s="14">
        <f t="shared" si="1"/>
        <v>490</v>
      </c>
      <c r="K8" s="15" t="s">
        <v>60</v>
      </c>
      <c r="L8" s="15" t="s">
        <v>61</v>
      </c>
      <c r="M8" s="15" t="s">
        <v>62</v>
      </c>
      <c r="N8" s="16" t="s">
        <v>63</v>
      </c>
    </row>
    <row r="9" spans="1:14">
      <c r="A9" s="12">
        <v>46257</v>
      </c>
      <c r="B9" s="13">
        <v>660</v>
      </c>
      <c r="C9" s="13">
        <v>20</v>
      </c>
      <c r="D9" s="13">
        <v>90</v>
      </c>
      <c r="E9" s="13">
        <v>40</v>
      </c>
      <c r="F9" s="13">
        <v>0</v>
      </c>
      <c r="G9" s="13">
        <v>0</v>
      </c>
      <c r="H9" s="13">
        <v>240</v>
      </c>
      <c r="I9" s="14">
        <f t="shared" si="0"/>
        <v>1050</v>
      </c>
      <c r="J9" s="14">
        <f t="shared" si="1"/>
        <v>390</v>
      </c>
      <c r="K9" s="15" t="s">
        <v>53</v>
      </c>
      <c r="L9" s="15" t="s">
        <v>54</v>
      </c>
      <c r="M9" s="15" t="s">
        <v>62</v>
      </c>
      <c r="N9" s="16" t="s">
        <v>64</v>
      </c>
    </row>
    <row r="10" ht="29" spans="1:14">
      <c r="A10" s="12">
        <v>46258</v>
      </c>
      <c r="B10" s="13">
        <v>360</v>
      </c>
      <c r="C10" s="13">
        <v>30</v>
      </c>
      <c r="D10" s="13">
        <v>60</v>
      </c>
      <c r="E10" s="13">
        <v>30</v>
      </c>
      <c r="F10" s="13">
        <v>150</v>
      </c>
      <c r="G10" s="13">
        <v>3</v>
      </c>
      <c r="H10" s="13">
        <v>240</v>
      </c>
      <c r="I10" s="14">
        <f t="shared" si="0"/>
        <v>870</v>
      </c>
      <c r="J10" s="14">
        <f t="shared" si="1"/>
        <v>570</v>
      </c>
      <c r="K10" s="15" t="s">
        <v>65</v>
      </c>
      <c r="L10" s="15" t="s">
        <v>66</v>
      </c>
      <c r="M10" s="15" t="s">
        <v>67</v>
      </c>
      <c r="N10" s="16" t="s">
        <v>68</v>
      </c>
    </row>
    <row r="11" ht="29" spans="1:14">
      <c r="A11" s="12">
        <v>46259</v>
      </c>
      <c r="B11" s="13">
        <v>420</v>
      </c>
      <c r="C11" s="13">
        <v>100</v>
      </c>
      <c r="D11" s="13">
        <v>0</v>
      </c>
      <c r="E11" s="13">
        <v>0</v>
      </c>
      <c r="F11" s="13">
        <v>420</v>
      </c>
      <c r="G11" s="13">
        <v>7</v>
      </c>
      <c r="H11" s="13">
        <v>120</v>
      </c>
      <c r="I11" s="14">
        <f t="shared" si="0"/>
        <v>1060</v>
      </c>
      <c r="J11" s="14">
        <f t="shared" si="1"/>
        <v>380</v>
      </c>
      <c r="K11" s="15" t="s">
        <v>69</v>
      </c>
      <c r="L11" s="15" t="s">
        <v>60</v>
      </c>
      <c r="M11" s="15" t="s">
        <v>69</v>
      </c>
      <c r="N11" s="16" t="s">
        <v>70</v>
      </c>
    </row>
    <row r="12" ht="29" spans="1:14">
      <c r="A12" s="12">
        <v>46260</v>
      </c>
      <c r="B12" s="13">
        <v>480</v>
      </c>
      <c r="C12" s="13">
        <v>100</v>
      </c>
      <c r="D12" s="13">
        <v>120</v>
      </c>
      <c r="E12" s="13">
        <v>60</v>
      </c>
      <c r="F12" s="13">
        <v>240</v>
      </c>
      <c r="G12" s="13">
        <v>4</v>
      </c>
      <c r="H12" s="13">
        <v>180</v>
      </c>
      <c r="I12" s="14">
        <f t="shared" si="0"/>
        <v>1180</v>
      </c>
      <c r="J12" s="14">
        <f t="shared" si="1"/>
        <v>260</v>
      </c>
      <c r="K12" s="15" t="s">
        <v>65</v>
      </c>
      <c r="L12" s="15" t="s">
        <v>66</v>
      </c>
      <c r="M12" s="15" t="s">
        <v>62</v>
      </c>
      <c r="N12" s="16" t="s">
        <v>71</v>
      </c>
    </row>
    <row r="13" spans="1:14">
      <c r="A13" s="12">
        <v>46261</v>
      </c>
      <c r="B13" s="13">
        <v>480</v>
      </c>
      <c r="C13" s="13">
        <v>100</v>
      </c>
      <c r="D13" s="13">
        <v>0</v>
      </c>
      <c r="E13" s="13">
        <v>0</v>
      </c>
      <c r="F13" s="13">
        <v>300</v>
      </c>
      <c r="G13" s="13">
        <v>6</v>
      </c>
      <c r="H13" s="13">
        <v>300</v>
      </c>
      <c r="I13" s="14">
        <f t="shared" si="0"/>
        <v>1180</v>
      </c>
      <c r="J13" s="14">
        <f t="shared" si="1"/>
        <v>260</v>
      </c>
      <c r="K13" s="15" t="s">
        <v>60</v>
      </c>
      <c r="L13" s="15" t="s">
        <v>60</v>
      </c>
      <c r="M13" s="15" t="s">
        <v>69</v>
      </c>
      <c r="N13" s="16" t="s">
        <v>72</v>
      </c>
    </row>
    <row r="14" spans="1:14">
      <c r="A14" s="12">
        <v>46262</v>
      </c>
      <c r="B14" s="13">
        <v>480</v>
      </c>
      <c r="C14" s="13">
        <v>60</v>
      </c>
      <c r="D14" s="13">
        <v>120</v>
      </c>
      <c r="E14" s="13">
        <v>60</v>
      </c>
      <c r="F14" s="13">
        <v>0</v>
      </c>
      <c r="G14" s="13">
        <v>0</v>
      </c>
      <c r="H14" s="13">
        <v>180</v>
      </c>
      <c r="I14" s="14">
        <f t="shared" si="0"/>
        <v>900</v>
      </c>
      <c r="J14" s="14">
        <f t="shared" si="1"/>
        <v>540</v>
      </c>
      <c r="K14" s="15" t="s">
        <v>73</v>
      </c>
      <c r="L14" s="15" t="s">
        <v>66</v>
      </c>
      <c r="M14" s="15" t="s">
        <v>62</v>
      </c>
      <c r="N14" s="16" t="s">
        <v>74</v>
      </c>
    </row>
    <row r="15" ht="29" spans="1:14">
      <c r="A15" s="12">
        <v>46263</v>
      </c>
      <c r="B15" s="13">
        <v>600</v>
      </c>
      <c r="C15" s="13">
        <v>20</v>
      </c>
      <c r="D15" s="13">
        <v>120</v>
      </c>
      <c r="E15" s="13">
        <v>30</v>
      </c>
      <c r="F15" s="13">
        <v>0</v>
      </c>
      <c r="G15" s="13">
        <v>0</v>
      </c>
      <c r="H15" s="13">
        <v>120</v>
      </c>
      <c r="I15" s="14">
        <f t="shared" si="0"/>
        <v>890</v>
      </c>
      <c r="J15" s="14">
        <f t="shared" si="1"/>
        <v>550</v>
      </c>
      <c r="K15" s="15" t="s">
        <v>65</v>
      </c>
      <c r="L15" s="15" t="s">
        <v>54</v>
      </c>
      <c r="M15" s="15" t="s">
        <v>62</v>
      </c>
      <c r="N15" s="16" t="s">
        <v>75</v>
      </c>
    </row>
    <row r="16" ht="43.5" spans="1:14">
      <c r="A16" s="12">
        <v>46264</v>
      </c>
      <c r="B16" s="13">
        <v>600</v>
      </c>
      <c r="C16" s="13">
        <v>40</v>
      </c>
      <c r="D16" s="13">
        <v>120</v>
      </c>
      <c r="E16" s="13">
        <v>0</v>
      </c>
      <c r="F16" s="13">
        <v>0</v>
      </c>
      <c r="G16" s="13">
        <v>0</v>
      </c>
      <c r="H16" s="13">
        <v>420</v>
      </c>
      <c r="I16" s="14">
        <f t="shared" si="0"/>
        <v>1180</v>
      </c>
      <c r="J16" s="14">
        <f t="shared" si="1"/>
        <v>260</v>
      </c>
      <c r="K16" s="15" t="s">
        <v>60</v>
      </c>
      <c r="L16" s="15" t="s">
        <v>60</v>
      </c>
      <c r="M16" s="15" t="s">
        <v>69</v>
      </c>
      <c r="N16" s="16" t="s">
        <v>76</v>
      </c>
    </row>
    <row r="17" ht="43.5" spans="1:14">
      <c r="A17" s="12">
        <v>46265</v>
      </c>
      <c r="B17" s="13">
        <v>600</v>
      </c>
      <c r="C17" s="13">
        <v>40</v>
      </c>
      <c r="D17" s="13">
        <v>300</v>
      </c>
      <c r="E17" s="13">
        <v>60</v>
      </c>
      <c r="F17" s="13">
        <v>180</v>
      </c>
      <c r="G17" s="13">
        <v>0</v>
      </c>
      <c r="H17" s="13">
        <v>180</v>
      </c>
      <c r="I17" s="14">
        <f t="shared" si="0"/>
        <v>1360</v>
      </c>
      <c r="J17" s="14">
        <f t="shared" si="1"/>
        <v>80</v>
      </c>
      <c r="K17" s="15" t="s">
        <v>65</v>
      </c>
      <c r="L17" s="15" t="s">
        <v>66</v>
      </c>
      <c r="M17" s="15" t="s">
        <v>62</v>
      </c>
      <c r="N17" s="16" t="s">
        <v>77</v>
      </c>
    </row>
    <row r="18" ht="29" spans="1:14">
      <c r="A18" s="12">
        <v>46266</v>
      </c>
      <c r="B18" s="13">
        <v>450</v>
      </c>
      <c r="C18" s="13">
        <v>30</v>
      </c>
      <c r="D18" s="13">
        <v>30</v>
      </c>
      <c r="E18" s="13">
        <v>20</v>
      </c>
      <c r="F18" s="13">
        <v>420</v>
      </c>
      <c r="G18" s="13">
        <v>7</v>
      </c>
      <c r="H18" s="13">
        <v>180</v>
      </c>
      <c r="I18" s="14">
        <f t="shared" si="0"/>
        <v>1130</v>
      </c>
      <c r="J18" s="14">
        <f t="shared" si="1"/>
        <v>310</v>
      </c>
      <c r="K18" s="15" t="s">
        <v>69</v>
      </c>
      <c r="L18" s="15" t="s">
        <v>60</v>
      </c>
      <c r="M18" s="15" t="s">
        <v>69</v>
      </c>
      <c r="N18" s="16" t="s">
        <v>78</v>
      </c>
    </row>
    <row r="19" spans="1:14">
      <c r="A19" s="12">
        <v>46267</v>
      </c>
      <c r="B19" s="13">
        <v>440</v>
      </c>
      <c r="C19" s="13">
        <v>40</v>
      </c>
      <c r="D19" s="13">
        <v>120</v>
      </c>
      <c r="E19" s="13">
        <v>30</v>
      </c>
      <c r="F19" s="13">
        <v>240</v>
      </c>
      <c r="G19" s="13">
        <v>4</v>
      </c>
      <c r="H19" s="13">
        <v>240</v>
      </c>
      <c r="I19" s="14">
        <f t="shared" si="0"/>
        <v>1110</v>
      </c>
      <c r="J19" s="14">
        <f t="shared" si="1"/>
        <v>330</v>
      </c>
      <c r="K19" s="15" t="s">
        <v>53</v>
      </c>
      <c r="L19" s="15" t="s">
        <v>54</v>
      </c>
      <c r="M19" s="15" t="s">
        <v>67</v>
      </c>
      <c r="N19" s="16" t="s">
        <v>79</v>
      </c>
    </row>
    <row r="20" ht="29" spans="1:14">
      <c r="A20" s="12">
        <v>46268</v>
      </c>
      <c r="B20" s="13">
        <v>420</v>
      </c>
      <c r="C20" s="13">
        <v>40</v>
      </c>
      <c r="D20" s="13">
        <v>80</v>
      </c>
      <c r="E20" s="13">
        <v>30</v>
      </c>
      <c r="F20" s="13">
        <v>420</v>
      </c>
      <c r="G20" s="13">
        <v>7</v>
      </c>
      <c r="H20" s="13">
        <v>120</v>
      </c>
      <c r="I20" s="14">
        <f t="shared" si="0"/>
        <v>1110</v>
      </c>
      <c r="J20" s="14">
        <f t="shared" si="1"/>
        <v>330</v>
      </c>
      <c r="K20" s="15" t="s">
        <v>69</v>
      </c>
      <c r="L20" s="15" t="s">
        <v>60</v>
      </c>
      <c r="M20" s="15" t="s">
        <v>69</v>
      </c>
      <c r="N20" s="16" t="s">
        <v>80</v>
      </c>
    </row>
    <row r="21" ht="29" spans="1:14">
      <c r="A21" s="12">
        <v>46269</v>
      </c>
      <c r="B21" s="13">
        <v>480</v>
      </c>
      <c r="C21" s="13">
        <v>30</v>
      </c>
      <c r="D21" s="13">
        <v>0</v>
      </c>
      <c r="E21" s="13">
        <v>0</v>
      </c>
      <c r="F21" s="13">
        <v>360</v>
      </c>
      <c r="G21" s="13">
        <v>6</v>
      </c>
      <c r="H21" s="13">
        <v>200</v>
      </c>
      <c r="I21" s="14">
        <f t="shared" si="0"/>
        <v>1070</v>
      </c>
      <c r="J21" s="14">
        <f t="shared" si="1"/>
        <v>370</v>
      </c>
      <c r="K21" s="15" t="s">
        <v>53</v>
      </c>
      <c r="L21" s="15" t="s">
        <v>54</v>
      </c>
      <c r="M21" s="15" t="s">
        <v>69</v>
      </c>
      <c r="N21" s="16" t="s">
        <v>81</v>
      </c>
    </row>
    <row r="22" ht="29" spans="1:14">
      <c r="A22" s="12">
        <v>46270</v>
      </c>
      <c r="B22" s="13">
        <v>600</v>
      </c>
      <c r="C22" s="13">
        <v>30</v>
      </c>
      <c r="D22" s="13">
        <v>120</v>
      </c>
      <c r="E22" s="13">
        <v>30</v>
      </c>
      <c r="F22" s="13">
        <v>0</v>
      </c>
      <c r="G22" s="13">
        <v>0</v>
      </c>
      <c r="H22" s="13">
        <v>300</v>
      </c>
      <c r="I22" s="14">
        <f t="shared" si="0"/>
        <v>1080</v>
      </c>
      <c r="J22" s="14">
        <f t="shared" si="1"/>
        <v>360</v>
      </c>
      <c r="K22" s="15" t="s">
        <v>65</v>
      </c>
      <c r="L22" s="15" t="s">
        <v>66</v>
      </c>
      <c r="M22" s="15" t="s">
        <v>67</v>
      </c>
      <c r="N22" s="16" t="s">
        <v>82</v>
      </c>
    </row>
    <row r="23" spans="1:14">
      <c r="A23" s="12">
        <v>46271</v>
      </c>
      <c r="B23" s="13">
        <v>540</v>
      </c>
      <c r="C23" s="13">
        <v>30</v>
      </c>
      <c r="D23" s="13">
        <v>240</v>
      </c>
      <c r="E23" s="13">
        <v>60</v>
      </c>
      <c r="F23" s="13">
        <v>0</v>
      </c>
      <c r="G23" s="13">
        <v>0</v>
      </c>
      <c r="H23" s="13">
        <v>300</v>
      </c>
      <c r="I23" s="14">
        <f t="shared" si="0"/>
        <v>1170</v>
      </c>
      <c r="J23" s="14">
        <f t="shared" si="1"/>
        <v>270</v>
      </c>
      <c r="K23" s="15" t="s">
        <v>53</v>
      </c>
      <c r="L23" s="15" t="s">
        <v>60</v>
      </c>
      <c r="M23" s="15" t="s">
        <v>67</v>
      </c>
      <c r="N23" s="16" t="s">
        <v>83</v>
      </c>
    </row>
    <row r="24" ht="43.5" spans="1:14">
      <c r="A24" s="12">
        <v>46272</v>
      </c>
      <c r="B24" s="13">
        <v>480</v>
      </c>
      <c r="C24" s="13">
        <v>40</v>
      </c>
      <c r="D24" s="13">
        <v>60</v>
      </c>
      <c r="E24" s="13">
        <v>30</v>
      </c>
      <c r="F24" s="13">
        <v>150</v>
      </c>
      <c r="G24" s="13">
        <v>3</v>
      </c>
      <c r="H24" s="13">
        <v>240</v>
      </c>
      <c r="I24" s="14">
        <f t="shared" si="0"/>
        <v>1000</v>
      </c>
      <c r="J24" s="14">
        <f t="shared" si="1"/>
        <v>440</v>
      </c>
      <c r="K24" s="15" t="s">
        <v>69</v>
      </c>
      <c r="L24" s="15" t="s">
        <v>60</v>
      </c>
      <c r="M24" s="15" t="s">
        <v>67</v>
      </c>
      <c r="N24" s="16" t="s">
        <v>84</v>
      </c>
    </row>
    <row r="25" spans="1:14">
      <c r="A25" s="12">
        <v>46273</v>
      </c>
      <c r="B25" s="13">
        <v>420</v>
      </c>
      <c r="C25" s="13">
        <v>40</v>
      </c>
      <c r="D25" s="13">
        <v>0</v>
      </c>
      <c r="E25" s="13">
        <v>0</v>
      </c>
      <c r="F25" s="13">
        <v>350</v>
      </c>
      <c r="G25" s="13">
        <v>7</v>
      </c>
      <c r="H25" s="13">
        <v>180</v>
      </c>
      <c r="I25" s="14">
        <f t="shared" si="0"/>
        <v>990</v>
      </c>
      <c r="J25" s="14">
        <f t="shared" si="1"/>
        <v>450</v>
      </c>
      <c r="K25" s="15" t="s">
        <v>60</v>
      </c>
      <c r="L25" s="15" t="s">
        <v>54</v>
      </c>
      <c r="M25" s="15" t="s">
        <v>69</v>
      </c>
      <c r="N25" s="16" t="s">
        <v>85</v>
      </c>
    </row>
    <row r="26" ht="29" spans="1:14">
      <c r="A26" s="12">
        <v>46274</v>
      </c>
      <c r="B26" s="13">
        <v>420</v>
      </c>
      <c r="C26" s="13">
        <v>40</v>
      </c>
      <c r="D26" s="13">
        <v>220</v>
      </c>
      <c r="E26" s="13">
        <v>60</v>
      </c>
      <c r="F26" s="13">
        <v>200</v>
      </c>
      <c r="G26" s="13">
        <v>4</v>
      </c>
      <c r="H26" s="13">
        <v>180</v>
      </c>
      <c r="I26" s="14">
        <f t="shared" si="0"/>
        <v>1120</v>
      </c>
      <c r="J26" s="14">
        <f t="shared" si="1"/>
        <v>320</v>
      </c>
      <c r="K26" s="15" t="s">
        <v>53</v>
      </c>
      <c r="L26" s="15" t="s">
        <v>54</v>
      </c>
      <c r="M26" s="15" t="s">
        <v>62</v>
      </c>
      <c r="N26" s="16" t="s">
        <v>86</v>
      </c>
    </row>
    <row r="27" ht="29" spans="1:14">
      <c r="A27" s="12">
        <v>46275</v>
      </c>
      <c r="B27" s="13">
        <v>540</v>
      </c>
      <c r="C27" s="13">
        <v>40</v>
      </c>
      <c r="D27" s="13">
        <v>300</v>
      </c>
      <c r="E27" s="13">
        <v>40</v>
      </c>
      <c r="F27" s="13">
        <v>0</v>
      </c>
      <c r="G27" s="13">
        <v>3</v>
      </c>
      <c r="H27" s="13">
        <v>300</v>
      </c>
      <c r="I27" s="14">
        <f t="shared" si="0"/>
        <v>1220</v>
      </c>
      <c r="J27" s="14">
        <f t="shared" si="1"/>
        <v>220</v>
      </c>
      <c r="K27" s="15" t="s">
        <v>53</v>
      </c>
      <c r="L27" s="15" t="s">
        <v>54</v>
      </c>
      <c r="M27" s="15" t="s">
        <v>62</v>
      </c>
      <c r="N27" s="16" t="s">
        <v>87</v>
      </c>
    </row>
    <row r="28" ht="29" spans="1:14">
      <c r="A28" s="12">
        <v>46276</v>
      </c>
      <c r="B28" s="13">
        <v>320</v>
      </c>
      <c r="C28" s="13">
        <v>0</v>
      </c>
      <c r="D28" s="13">
        <v>0</v>
      </c>
      <c r="E28" s="13">
        <v>0</v>
      </c>
      <c r="F28" s="13">
        <v>300</v>
      </c>
      <c r="G28" s="13">
        <v>6</v>
      </c>
      <c r="H28" s="13">
        <v>420</v>
      </c>
      <c r="I28" s="14">
        <f t="shared" si="0"/>
        <v>1040</v>
      </c>
      <c r="J28" s="14">
        <f t="shared" si="1"/>
        <v>400</v>
      </c>
      <c r="K28" s="15" t="s">
        <v>53</v>
      </c>
      <c r="L28" s="15" t="s">
        <v>66</v>
      </c>
      <c r="M28" s="15" t="s">
        <v>69</v>
      </c>
      <c r="N28" s="16" t="s">
        <v>88</v>
      </c>
    </row>
    <row r="29" ht="29" spans="1:14">
      <c r="A29" s="12">
        <v>46277</v>
      </c>
      <c r="B29" s="13">
        <v>540</v>
      </c>
      <c r="C29" s="13">
        <v>30</v>
      </c>
      <c r="D29" s="13">
        <v>240</v>
      </c>
      <c r="E29" s="13">
        <v>0</v>
      </c>
      <c r="F29" s="13">
        <v>0</v>
      </c>
      <c r="G29" s="13">
        <v>0</v>
      </c>
      <c r="H29" s="13">
        <v>240</v>
      </c>
      <c r="I29" s="14">
        <f t="shared" si="0"/>
        <v>1050</v>
      </c>
      <c r="J29" s="14">
        <f t="shared" si="1"/>
        <v>390</v>
      </c>
      <c r="K29" s="15" t="s">
        <v>65</v>
      </c>
      <c r="L29" s="15" t="s">
        <v>66</v>
      </c>
      <c r="M29" s="15" t="s">
        <v>62</v>
      </c>
      <c r="N29" s="16" t="s">
        <v>89</v>
      </c>
    </row>
    <row r="30" spans="1:14">
      <c r="A30" s="12">
        <v>46278</v>
      </c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>
      <c r="A31" s="12">
        <v>46279</v>
      </c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>
      <c r="A32" s="12">
        <v>46280</v>
      </c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>
      <c r="A33" s="12">
        <v>46281</v>
      </c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>
      <c r="A34" s="12">
        <v>46282</v>
      </c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>
      <c r="A35" s="12">
        <v>46283</v>
      </c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>
      <c r="A36" s="12">
        <v>46284</v>
      </c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>
      <c r="A37" s="12">
        <v>46285</v>
      </c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>
      <c r="A38" s="12">
        <v>46286</v>
      </c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>
      <c r="A39" s="12">
        <v>46287</v>
      </c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>
      <c r="A40" s="12">
        <v>46288</v>
      </c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>
      <c r="A41" s="12">
        <v>46289</v>
      </c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>
      <c r="A42" s="12">
        <v>46290</v>
      </c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>
      <c r="A43" s="12">
        <v>46291</v>
      </c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>
      <c r="A44" s="12">
        <v>46292</v>
      </c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>
      <c r="A45" s="12">
        <v>46293</v>
      </c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>
      <c r="A46" s="12">
        <v>46294</v>
      </c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>
      <c r="A47" s="12">
        <v>46295</v>
      </c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53" si="12">IF(SUM(B390:F390,H390)=0,"",SUM(B390:F390,H390))</f>
        <v/>
      </c>
      <c r="J390" s="14" t="str">
        <f t="shared" ref="J390:J453" si="13">IF(I390="","",1440-I390)</f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Oem</cp:lastModifiedBy>
  <cp:revision>0</cp:revision>
  <dcterms:created xsi:type="dcterms:W3CDTF">2026-07-24T11:49:00Z</dcterms:created>
  <dcterms:modified xsi:type="dcterms:W3CDTF">2026-09-12T07:30:00Z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AD93B7A0E4F94C82BCDA500C9C333C38_13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