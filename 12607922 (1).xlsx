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<sst xmlns="http://schemas.openxmlformats.org/spreadsheetml/2006/main" count="93" uniqueCount="76">
  <si>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</si>
  <si>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</si>
  <si>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</si>
  <si>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</si>
  <si>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</si>
  <si>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</si>
  <si>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</si>
  <si>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</si>
  <si>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</si>
  <si>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</si>
  <si>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</si>
  <si>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</si>
  <si>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</si>
  <si>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</si>
  <si>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</si>
  <si>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</si>
  <si>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</si>
  <si>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</si>
  <si>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</si>
  <si>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</si>
  <si>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</si>
  <si>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</si>
  <si>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</si>
  <si>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</si>
  <si>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</si>
  <si>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</si>
  <si>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</si>
  <si>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</si>
  <si>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</si>
  <si>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</si>
  <si>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</si>
  <si>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</si>
  <si>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</si>
  <si>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</si>
  <si>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</si>
  <si>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</si>
  <si>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</si>
  <si>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</si>
  <si>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</si>
  <si>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</si>
  <si>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</si>
  <si>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</si>
  <si>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</si>
  <si>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</si>
  <si>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</si>
  <si>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</si>
  <si>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</si>
  <si>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</si>
  <si>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</si>
  <si>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</si>
  <si>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</si>
  <si>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</si>
  <si>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</si>
  <si>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</si>
  <si>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</si>
  <si>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</si>
  <si>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</si>
  <si>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</si>
  <si>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</si>
  <si>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</si>
  <si>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</si>
  <si>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</si>
  <si>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</si>
  <si>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</si>
  <si>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</si>
  <si>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</si>
  <si>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</si>
  <si>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Medium</t>
  </si>
  <si>
    <t>homesick, chit chat with roommates</t>
  </si>
  <si>
    <t>Low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</si>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</sst>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G11" activePane="bottomRight" state="frozen"/>
      <selection/>
      <selection pane="topRight"/>
      <selection pane="bottomLeft"/>
      <selection pane="bottomRight" activeCell="N16" sqref="N16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46254</v>
      </c>
      <c r="B6" s="8">
        <v>450</v>
      </c>
      <c r="C6" s="8">
        <v>60</v>
      </c>
      <c r="D6" s="8">
        <v>30</v>
      </c>
      <c r="E6" s="8">
        <v>70</v>
      </c>
      <c r="F6" s="8">
        <v>350</v>
      </c>
      <c r="G6" s="8">
        <v>7</v>
      </c>
      <c r="H6" s="8">
        <v>180</v>
      </c>
      <c r="I6" s="9">
        <f t="shared" ref="I6:I69" si="0">IF(SUM(B6:F6,H6)=0,"",SUM(B6:F6,H6))</f>
        <v>1140</v>
      </c>
      <c r="J6" s="9">
        <f>IF(I6="","",1440-I6)</f>
        <v>300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46255</v>
      </c>
      <c r="B7" s="13">
        <v>450</v>
      </c>
      <c r="C7" s="13">
        <v>60</v>
      </c>
      <c r="D7" s="13">
        <v>0</v>
      </c>
      <c r="E7" s="13">
        <v>60</v>
      </c>
      <c r="F7" s="13">
        <v>300</v>
      </c>
      <c r="G7" s="13">
        <v>6</v>
      </c>
      <c r="H7" s="13">
        <v>240</v>
      </c>
      <c r="I7" s="14">
        <f t="shared" si="0"/>
        <v>1110</v>
      </c>
      <c r="J7" s="14">
        <f t="shared" ref="J6:J69" si="1">IF(I7="","",1440-I7)</f>
        <v>330</v>
      </c>
      <c r="K7" s="15" t="s">
        <v>57</v>
      </c>
      <c r="L7" s="15" t="s">
        <v>58</v>
      </c>
      <c r="M7" s="15" t="s">
        <v>55</v>
      </c>
      <c r="N7" s="16" t="s">
        <v>59</v>
      </c>
    </row>
    <row r="8" ht="29" spans="1:14">
      <c r="A8" s="12">
        <v>46256</v>
      </c>
      <c r="B8" s="13">
        <v>660</v>
      </c>
      <c r="C8" s="13">
        <v>20</v>
      </c>
      <c r="D8" s="13">
        <v>0</v>
      </c>
      <c r="E8" s="13">
        <v>30</v>
      </c>
      <c r="F8" s="13">
        <v>0</v>
      </c>
      <c r="G8" s="13">
        <v>0</v>
      </c>
      <c r="H8" s="13">
        <v>240</v>
      </c>
      <c r="I8" s="14">
        <f t="shared" si="0"/>
        <v>950</v>
      </c>
      <c r="J8" s="14">
        <f t="shared" si="1"/>
        <v>490</v>
      </c>
      <c r="K8" s="15" t="s">
        <v>60</v>
      </c>
      <c r="L8" s="15" t="s">
        <v>61</v>
      </c>
      <c r="M8" s="15" t="s">
        <v>62</v>
      </c>
      <c r="N8" s="16" t="s">
        <v>63</v>
      </c>
    </row>
    <row r="9" spans="1:14">
      <c r="A9" s="12">
        <v>46257</v>
      </c>
      <c r="B9" s="13">
        <v>660</v>
      </c>
      <c r="C9" s="13">
        <v>20</v>
      </c>
      <c r="D9" s="13">
        <v>90</v>
      </c>
      <c r="E9" s="13">
        <v>40</v>
      </c>
      <c r="F9" s="13">
        <v>0</v>
      </c>
      <c r="G9" s="13">
        <v>0</v>
      </c>
      <c r="H9" s="13">
        <v>240</v>
      </c>
      <c r="I9" s="14">
        <f t="shared" si="0"/>
        <v>1050</v>
      </c>
      <c r="J9" s="14">
        <f t="shared" si="1"/>
        <v>390</v>
      </c>
      <c r="K9" s="15" t="s">
        <v>53</v>
      </c>
      <c r="L9" s="15" t="s">
        <v>54</v>
      </c>
      <c r="M9" s="15" t="s">
        <v>62</v>
      </c>
      <c r="N9" s="16" t="s">
        <v>64</v>
      </c>
    </row>
    <row r="10" ht="29" spans="1:14">
      <c r="A10" s="12">
        <v>46258</v>
      </c>
      <c r="B10" s="13">
        <v>360</v>
      </c>
      <c r="C10" s="13">
        <v>30</v>
      </c>
      <c r="D10" s="13">
        <v>60</v>
      </c>
      <c r="E10" s="13">
        <v>30</v>
      </c>
      <c r="F10" s="13">
        <v>150</v>
      </c>
      <c r="G10" s="13">
        <v>3</v>
      </c>
      <c r="H10" s="13">
        <v>240</v>
      </c>
      <c r="I10" s="14">
        <f t="shared" si="0"/>
        <v>870</v>
      </c>
      <c r="J10" s="14">
        <f t="shared" si="1"/>
        <v>570</v>
      </c>
      <c r="K10" s="15" t="s">
        <v>65</v>
      </c>
      <c r="L10" s="15" t="s">
        <v>66</v>
      </c>
      <c r="M10" s="15" t="s">
        <v>67</v>
      </c>
      <c r="N10" s="16" t="s">
        <v>68</v>
      </c>
    </row>
    <row r="11" ht="29" spans="1:14">
      <c r="A11" s="12">
        <v>46259</v>
      </c>
      <c r="B11" s="13">
        <v>420</v>
      </c>
      <c r="C11" s="13">
        <v>100</v>
      </c>
      <c r="D11" s="13">
        <v>0</v>
      </c>
      <c r="E11" s="13">
        <v>0</v>
      </c>
      <c r="F11" s="13">
        <v>420</v>
      </c>
      <c r="G11" s="13">
        <v>7</v>
      </c>
      <c r="H11" s="13">
        <v>120</v>
      </c>
      <c r="I11" s="14">
        <f t="shared" si="0"/>
        <v>1060</v>
      </c>
      <c r="J11" s="14">
        <f t="shared" si="1"/>
        <v>380</v>
      </c>
      <c r="K11" s="15" t="s">
        <v>69</v>
      </c>
      <c r="L11" s="15" t="s">
        <v>60</v>
      </c>
      <c r="M11" s="15" t="s">
        <v>69</v>
      </c>
      <c r="N11" s="16" t="s">
        <v>70</v>
      </c>
    </row>
    <row r="12" ht="29" spans="1:14">
      <c r="A12" s="12">
        <v>46260</v>
      </c>
      <c r="B12" s="13">
        <v>480</v>
      </c>
      <c r="C12" s="13">
        <v>100</v>
      </c>
      <c r="D12" s="13">
        <v>120</v>
      </c>
      <c r="E12" s="13">
        <v>60</v>
      </c>
      <c r="F12" s="13">
        <v>240</v>
      </c>
      <c r="G12" s="13">
        <v>4</v>
      </c>
      <c r="H12" s="13">
        <v>180</v>
      </c>
      <c r="I12" s="14">
        <f t="shared" si="0"/>
        <v>1180</v>
      </c>
      <c r="J12" s="14">
        <f t="shared" si="1"/>
        <v>260</v>
      </c>
      <c r="K12" s="15" t="s">
        <v>65</v>
      </c>
      <c r="L12" s="15" t="s">
        <v>66</v>
      </c>
      <c r="M12" s="15" t="s">
        <v>62</v>
      </c>
      <c r="N12" s="16" t="s">
        <v>71</v>
      </c>
    </row>
    <row r="13" spans="1:14">
      <c r="A13" s="12">
        <v>46261</v>
      </c>
      <c r="B13" s="13">
        <v>480</v>
      </c>
      <c r="C13" s="13">
        <v>100</v>
      </c>
      <c r="D13" s="13">
        <v>0</v>
      </c>
      <c r="E13" s="13">
        <v>0</v>
      </c>
      <c r="F13" s="13">
        <v>300</v>
      </c>
      <c r="G13" s="13">
        <v>6</v>
      </c>
      <c r="H13" s="13">
        <v>300</v>
      </c>
      <c r="I13" s="14">
        <f t="shared" si="0"/>
        <v>1180</v>
      </c>
      <c r="J13" s="14">
        <f t="shared" si="1"/>
        <v>260</v>
      </c>
      <c r="K13" s="15" t="s">
        <v>60</v>
      </c>
      <c r="L13" s="15" t="s">
        <v>60</v>
      </c>
      <c r="M13" s="15" t="s">
        <v>69</v>
      </c>
      <c r="N13" s="16" t="s">
        <v>72</v>
      </c>
    </row>
    <row r="14" spans="1:14">
      <c r="A14" s="12">
        <v>46262</v>
      </c>
      <c r="B14" s="13">
        <v>480</v>
      </c>
      <c r="C14" s="13">
        <v>60</v>
      </c>
      <c r="D14" s="13">
        <v>120</v>
      </c>
      <c r="E14" s="13">
        <v>60</v>
      </c>
      <c r="F14" s="13">
        <v>0</v>
      </c>
      <c r="G14" s="13">
        <v>0</v>
      </c>
      <c r="H14" s="13">
        <v>180</v>
      </c>
      <c r="I14" s="14">
        <f t="shared" si="0"/>
        <v>900</v>
      </c>
      <c r="J14" s="14">
        <f t="shared" si="1"/>
        <v>540</v>
      </c>
      <c r="K14" s="15" t="s">
        <v>73</v>
      </c>
      <c r="L14" s="15" t="s">
        <v>66</v>
      </c>
      <c r="M14" s="15" t="s">
        <v>62</v>
      </c>
      <c r="N14" s="16" t="s">
        <v>74</v>
      </c>
    </row>
    <row r="15" ht="29" spans="1:14">
      <c r="A15" s="12">
        <v>46263</v>
      </c>
      <c r="B15" s="13">
        <v>600</v>
      </c>
      <c r="C15" s="13">
        <v>20</v>
      </c>
      <c r="D15" s="13">
        <v>120</v>
      </c>
      <c r="E15" s="13">
        <v>30</v>
      </c>
      <c r="F15" s="13">
        <v>0</v>
      </c>
      <c r="G15" s="13">
        <v>0</v>
      </c>
      <c r="H15" s="13">
        <v>120</v>
      </c>
      <c r="I15" s="14">
        <f t="shared" si="0"/>
        <v>890</v>
      </c>
      <c r="J15" s="14">
        <f t="shared" si="1"/>
        <v>550</v>
      </c>
      <c r="K15" s="15" t="s">
        <v>65</v>
      </c>
      <c r="L15" s="15" t="s">
        <v>54</v>
      </c>
      <c r="M15" s="15" t="s">
        <v>62</v>
      </c>
      <c r="N15" s="16" t="s">
        <v>75</v>
      </c>
    </row>
    <row r="16" spans="1:14">
      <c r="A16" s="12"/>
      <c r="B16" s="13"/>
      <c r="C16" s="13"/>
      <c r="D16" s="13"/>
      <c r="E16" s="13"/>
      <c r="F16" s="13"/>
      <c r="G16" s="13"/>
      <c r="H16" s="13"/>
      <c r="I16" s="14" t="str">
        <f t="shared" si="0"/>
        <v/>
      </c>
      <c r="J16" s="14" t="str">
        <f t="shared" si="1"/>
        <v/>
      </c>
      <c r="K16" s="15"/>
      <c r="L16" s="15"/>
      <c r="M16" s="15"/>
      <c r="N16" s="16"/>
    </row>
    <row r="17" spans="1:14">
      <c r="A17" s="12"/>
      <c r="B17" s="13"/>
      <c r="C17" s="13"/>
      <c r="D17" s="13"/>
      <c r="E17" s="13"/>
      <c r="F17" s="13"/>
      <c r="G17" s="13"/>
      <c r="H17" s="13"/>
      <c r="I17" s="14" t="str">
        <f t="shared" si="0"/>
        <v/>
      </c>
      <c r="J17" s="14" t="str">
        <f t="shared" si="1"/>
        <v/>
      </c>
      <c r="K17" s="15"/>
      <c r="L17" s="15"/>
      <c r="M17" s="15"/>
      <c r="N17" s="16"/>
    </row>
    <row r="18" spans="1:14">
      <c r="A18" s="12"/>
      <c r="B18" s="13"/>
      <c r="C18" s="13"/>
      <c r="D18" s="13"/>
      <c r="E18" s="13"/>
      <c r="F18" s="13"/>
      <c r="G18" s="13"/>
      <c r="H18" s="13"/>
      <c r="I18" s="14" t="str">
        <f t="shared" si="0"/>
        <v/>
      </c>
      <c r="J18" s="14" t="str">
        <f t="shared" si="1"/>
        <v/>
      </c>
      <c r="K18" s="15"/>
      <c r="L18" s="15"/>
      <c r="M18" s="15"/>
      <c r="N18" s="16"/>
    </row>
    <row r="19" spans="1:14">
      <c r="A19" s="12"/>
      <c r="B19" s="13"/>
      <c r="C19" s="13"/>
      <c r="D19" s="13"/>
      <c r="E19" s="13"/>
      <c r="F19" s="13"/>
      <c r="G19" s="13"/>
      <c r="H19" s="13"/>
      <c r="I19" s="14" t="str">
        <f t="shared" si="0"/>
        <v/>
      </c>
      <c r="J19" s="14" t="str">
        <f t="shared" si="1"/>
        <v/>
      </c>
      <c r="K19" s="15"/>
      <c r="L19" s="15"/>
      <c r="M19" s="15"/>
      <c r="N19" s="16"/>
    </row>
    <row r="20" spans="1:14">
      <c r="A20" s="12"/>
      <c r="B20" s="13"/>
      <c r="C20" s="13"/>
      <c r="D20" s="13"/>
      <c r="E20" s="13"/>
      <c r="F20" s="13"/>
      <c r="G20" s="13"/>
      <c r="H20" s="13"/>
      <c r="I20" s="14" t="str">
        <f t="shared" si="0"/>
        <v/>
      </c>
      <c r="J20" s="14" t="str">
        <f t="shared" si="1"/>
        <v/>
      </c>
      <c r="K20" s="15"/>
      <c r="L20" s="15"/>
      <c r="M20" s="15"/>
      <c r="N20" s="16"/>
    </row>
    <row r="21" spans="1:14">
      <c r="A21" s="12"/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>
      <c r="A22" s="12"/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>
      <c r="A23" s="12"/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>
      <c r="A24" s="12"/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>
      <c r="A25" s="12"/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>
      <c r="A26" s="12"/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>
      <c r="A27" s="12"/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>
      <c r="A28" s="12"/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>
      <c r="A29" s="12"/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>
      <c r="A30" s="12"/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>
      <c r="A31" s="12"/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>
      <c r="A32" s="12"/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>
      <c r="A33" s="12"/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>
      <c r="A34" s="12"/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>
      <c r="A35" s="12"/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>
      <c r="A36" s="12"/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>
      <c r="A37" s="12"/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>
      <c r="A38" s="12"/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>
      <c r="A39" s="12"/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53" si="12">IF(SUM(B390:F390,H390)=0,"",SUM(B390:F390,H390))</f>
        <v/>
      </c>
      <c r="J390" s="14" t="str">
        <f t="shared" ref="J390:J453" si="13">IF(I390="","",1440-I390)</f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2026-08-29T16:45:58Z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04C4F72EB73247D5A6B35B1A3DDBD0BA_13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